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asters Degree\Master_Thesis\Matlab_Workspace\Error_Rate_Detection\"/>
    </mc:Choice>
  </mc:AlternateContent>
  <xr:revisionPtr revIDLastSave="0" documentId="13_ncr:1_{10235F64-CB22-4F4C-BE35-970E9CEA06AA}" xr6:coauthVersionLast="45" xr6:coauthVersionMax="45" xr10:uidLastSave="{00000000-0000-0000-0000-000000000000}"/>
  <bookViews>
    <workbookView xWindow="-120" yWindow="-120" windowWidth="20730" windowHeight="11280" xr2:uid="{53795554-7DCD-497F-905D-B8934D4008A3}"/>
  </bookViews>
  <sheets>
    <sheet name="0.1 Payload" sheetId="1" r:id="rId1"/>
    <sheet name="0.4 Payload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L35" i="3" l="1"/>
  <c r="L36" i="3"/>
  <c r="L37" i="3"/>
  <c r="L38" i="3"/>
  <c r="L39" i="3"/>
  <c r="L40" i="3"/>
  <c r="L41" i="3"/>
  <c r="L42" i="3"/>
  <c r="L43" i="3"/>
  <c r="L44" i="3"/>
  <c r="L45" i="3"/>
  <c r="L46" i="3"/>
  <c r="L47" i="3"/>
  <c r="L34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18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2" i="3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34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18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2" i="1"/>
</calcChain>
</file>

<file path=xl/sharedStrings.xml><?xml version="1.0" encoding="utf-8"?>
<sst xmlns="http://schemas.openxmlformats.org/spreadsheetml/2006/main" count="108" uniqueCount="22">
  <si>
    <t>Stego Algorithm</t>
  </si>
  <si>
    <t>Modification Type 
(Gaussian Noise/ 
Packet Loss/ 
Packet Loss + Gaussian Noise)</t>
  </si>
  <si>
    <t>Average Number 
of Stego Bits 
Embedded</t>
  </si>
  <si>
    <t>Standard Deviation</t>
  </si>
  <si>
    <t>Packet Size</t>
  </si>
  <si>
    <t>Total Number of Packets</t>
  </si>
  <si>
    <t>Average Number of Packets Lost</t>
  </si>
  <si>
    <t>HUGO</t>
  </si>
  <si>
    <t>Packet Loss</t>
  </si>
  <si>
    <t>2 X 2</t>
  </si>
  <si>
    <t>Average Burst Length (ABL)</t>
  </si>
  <si>
    <t>Average
Packet Loss Ratio (PLR)</t>
  </si>
  <si>
    <t>Average 
PSNR</t>
  </si>
  <si>
    <t>4 X 4</t>
  </si>
  <si>
    <t>8 X 8</t>
  </si>
  <si>
    <t>16 X 16</t>
  </si>
  <si>
    <t>Packet Loss + Gaussian Noise</t>
  </si>
  <si>
    <t>Gaussian Noise</t>
  </si>
  <si>
    <t>WOW</t>
  </si>
  <si>
    <t>S - UNIWARD</t>
  </si>
  <si>
    <t>Average Number 
of Bit Flips</t>
  </si>
  <si>
    <t>Error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</si>
</sst>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38654-7092-4567-AA6B-A386E91118CA}">
  <dimension ref="A1:M49"/>
  <sheetViews>
    <sheetView tabSelected="1" zoomScale="80" zoomScaleNormal="80" workbookViewId="0"/>
  </sheetViews>
  <sheetFormatPr defaultRowHeight="15" x14ac:dyDescent="0.25"/>
  <cols>
    <col min="1" max="1" width="15.42578125" bestFit="1" customWidth="1"/>
    <col min="2" max="2" width="15.42578125" customWidth="1"/>
    <col min="3" max="3" width="30.7109375" bestFit="1" customWidth="1"/>
    <col min="4" max="4" width="20.28515625" bestFit="1" customWidth="1"/>
    <col min="5" max="5" width="12" bestFit="1" customWidth="1"/>
    <col min="6" max="6" width="27.28515625" bestFit="1" customWidth="1"/>
    <col min="7" max="7" width="21.42578125" bestFit="1" customWidth="1"/>
    <col min="8" max="8" width="25.28515625" bestFit="1" customWidth="1"/>
    <col min="9" max="9" width="32" customWidth="1"/>
    <col min="10" max="10" width="8.5703125" customWidth="1"/>
    <col min="11" max="11" width="17.28515625" bestFit="1" customWidth="1"/>
    <col min="12" max="12" width="8.85546875" style="1" bestFit="1" customWidth="1"/>
    <col min="13" max="13" width="9.140625" style="1"/>
  </cols>
  <sheetData>
    <row r="1" spans="1:12" ht="75" customHeight="1" x14ac:dyDescent="0.25">
      <c r="A1" s="4" t="s">
        <v>0</v>
      </c>
      <c r="B1" s="5" t="s">
        <v>2</v>
      </c>
      <c r="C1" s="5" t="s">
        <v>1</v>
      </c>
      <c r="D1" s="4" t="s">
        <v>3</v>
      </c>
      <c r="E1" s="4" t="s">
        <v>4</v>
      </c>
      <c r="F1" s="4" t="s">
        <v>10</v>
      </c>
      <c r="G1" s="5" t="s">
        <v>11</v>
      </c>
      <c r="H1" s="4" t="s">
        <v>5</v>
      </c>
      <c r="I1" s="4" t="s">
        <v>6</v>
      </c>
      <c r="J1" s="5" t="s">
        <v>12</v>
      </c>
      <c r="K1" s="5" t="s">
        <v>20</v>
      </c>
      <c r="L1" s="5" t="s">
        <v>21</v>
      </c>
    </row>
    <row r="2" spans="1:12" x14ac:dyDescent="0.25">
      <c r="A2" s="6" t="s">
        <v>7</v>
      </c>
      <c r="B2" s="7">
        <v>4717</v>
      </c>
      <c r="C2" s="8" t="s">
        <v>17</v>
      </c>
      <c r="D2" s="7">
        <v>0.3</v>
      </c>
      <c r="E2" s="9"/>
      <c r="F2" s="9"/>
      <c r="G2" s="9"/>
      <c r="H2" s="9"/>
      <c r="I2" s="9"/>
      <c r="J2" s="10">
        <v>60.07</v>
      </c>
      <c r="K2" s="10">
        <v>223</v>
      </c>
      <c r="L2" s="11">
        <f>(K2/B2)*100</f>
        <v>4.7275810896756409</v>
      </c>
    </row>
    <row r="3" spans="1:12" x14ac:dyDescent="0.25">
      <c r="A3" s="6"/>
      <c r="B3" s="7">
        <v>4717</v>
      </c>
      <c r="C3" s="8"/>
      <c r="D3" s="7">
        <v>11</v>
      </c>
      <c r="E3" s="9"/>
      <c r="F3" s="9"/>
      <c r="G3" s="9"/>
      <c r="H3" s="9"/>
      <c r="I3" s="9"/>
      <c r="J3" s="10">
        <v>30.59</v>
      </c>
      <c r="K3" s="10">
        <v>1177</v>
      </c>
      <c r="L3" s="11">
        <f t="shared" ref="L3:L15" si="0">(K3/B3)*100</f>
        <v>24.952300190799235</v>
      </c>
    </row>
    <row r="4" spans="1:12" x14ac:dyDescent="0.25">
      <c r="A4" s="6"/>
      <c r="B4" s="7">
        <v>4717</v>
      </c>
      <c r="C4" s="7" t="s">
        <v>8</v>
      </c>
      <c r="D4" s="10"/>
      <c r="E4" s="8" t="s">
        <v>9</v>
      </c>
      <c r="F4" s="8">
        <v>11</v>
      </c>
      <c r="G4" s="8">
        <v>3.5000000000000001E-3</v>
      </c>
      <c r="H4" s="8">
        <v>65536</v>
      </c>
      <c r="I4" s="8">
        <v>221</v>
      </c>
      <c r="J4" s="7">
        <v>32.29</v>
      </c>
      <c r="K4" s="10">
        <v>8</v>
      </c>
      <c r="L4" s="11">
        <f t="shared" si="0"/>
        <v>0.1695993216027136</v>
      </c>
    </row>
    <row r="5" spans="1:12" x14ac:dyDescent="0.25">
      <c r="A5" s="6"/>
      <c r="B5" s="7">
        <v>4717</v>
      </c>
      <c r="C5" s="6" t="s">
        <v>16</v>
      </c>
      <c r="D5" s="10">
        <v>0.3</v>
      </c>
      <c r="E5" s="8"/>
      <c r="F5" s="8"/>
      <c r="G5" s="8"/>
      <c r="H5" s="8"/>
      <c r="I5" s="8"/>
      <c r="J5" s="7">
        <v>32.28</v>
      </c>
      <c r="K5" s="10">
        <v>229</v>
      </c>
      <c r="L5" s="11">
        <f t="shared" si="0"/>
        <v>4.8547805808776765</v>
      </c>
    </row>
    <row r="6" spans="1:12" x14ac:dyDescent="0.25">
      <c r="A6" s="6"/>
      <c r="B6" s="7">
        <v>4717</v>
      </c>
      <c r="C6" s="6"/>
      <c r="D6" s="10">
        <v>11</v>
      </c>
      <c r="E6" s="8"/>
      <c r="F6" s="8"/>
      <c r="G6" s="8"/>
      <c r="H6" s="8"/>
      <c r="I6" s="8"/>
      <c r="J6" s="7">
        <v>28.38</v>
      </c>
      <c r="K6" s="10">
        <v>1181</v>
      </c>
      <c r="L6" s="11">
        <f t="shared" si="0"/>
        <v>25.03709985160059</v>
      </c>
    </row>
    <row r="7" spans="1:12" x14ac:dyDescent="0.25">
      <c r="A7" s="6"/>
      <c r="B7" s="7">
        <v>4717</v>
      </c>
      <c r="C7" s="7" t="s">
        <v>8</v>
      </c>
      <c r="D7" s="10"/>
      <c r="E7" s="8" t="s">
        <v>13</v>
      </c>
      <c r="F7" s="8">
        <v>21</v>
      </c>
      <c r="G7" s="8">
        <v>2.3E-3</v>
      </c>
      <c r="H7" s="8">
        <v>16384</v>
      </c>
      <c r="I7" s="8">
        <v>38</v>
      </c>
      <c r="J7" s="7">
        <v>34.56</v>
      </c>
      <c r="K7" s="10">
        <v>9</v>
      </c>
      <c r="L7" s="11">
        <f t="shared" si="0"/>
        <v>0.19079923680305277</v>
      </c>
    </row>
    <row r="8" spans="1:12" x14ac:dyDescent="0.25">
      <c r="A8" s="6"/>
      <c r="B8" s="7">
        <v>4717</v>
      </c>
      <c r="C8" s="6" t="s">
        <v>16</v>
      </c>
      <c r="D8" s="10">
        <v>0.3</v>
      </c>
      <c r="E8" s="8"/>
      <c r="F8" s="8"/>
      <c r="G8" s="8"/>
      <c r="H8" s="8"/>
      <c r="I8" s="8"/>
      <c r="J8" s="7">
        <v>34.53</v>
      </c>
      <c r="K8" s="10">
        <v>235</v>
      </c>
      <c r="L8" s="11">
        <f t="shared" si="0"/>
        <v>4.9819800720797112</v>
      </c>
    </row>
    <row r="9" spans="1:12" x14ac:dyDescent="0.25">
      <c r="A9" s="6"/>
      <c r="B9" s="7">
        <v>4717</v>
      </c>
      <c r="C9" s="6"/>
      <c r="D9" s="10">
        <v>11</v>
      </c>
      <c r="E9" s="8"/>
      <c r="F9" s="8"/>
      <c r="G9" s="8"/>
      <c r="H9" s="8"/>
      <c r="I9" s="8"/>
      <c r="J9" s="7">
        <v>28.91</v>
      </c>
      <c r="K9" s="10">
        <v>1170</v>
      </c>
      <c r="L9" s="11">
        <f t="shared" si="0"/>
        <v>24.803900784396863</v>
      </c>
    </row>
    <row r="10" spans="1:12" x14ac:dyDescent="0.25">
      <c r="A10" s="6"/>
      <c r="B10" s="7">
        <v>4717</v>
      </c>
      <c r="C10" s="7" t="s">
        <v>8</v>
      </c>
      <c r="D10" s="10"/>
      <c r="E10" s="8" t="s">
        <v>14</v>
      </c>
      <c r="F10" s="8">
        <v>23</v>
      </c>
      <c r="G10" s="8">
        <v>2.2000000000000001E-3</v>
      </c>
      <c r="H10" s="8">
        <v>4096</v>
      </c>
      <c r="I10" s="8">
        <v>9</v>
      </c>
      <c r="J10" s="7">
        <v>35.47</v>
      </c>
      <c r="K10" s="10">
        <v>5</v>
      </c>
      <c r="L10" s="11">
        <f t="shared" si="0"/>
        <v>0.10599957600169599</v>
      </c>
    </row>
    <row r="11" spans="1:12" x14ac:dyDescent="0.25">
      <c r="A11" s="6"/>
      <c r="B11" s="7">
        <v>4717</v>
      </c>
      <c r="C11" s="6" t="s">
        <v>16</v>
      </c>
      <c r="D11" s="10">
        <v>0.3</v>
      </c>
      <c r="E11" s="8"/>
      <c r="F11" s="8"/>
      <c r="G11" s="8"/>
      <c r="H11" s="8"/>
      <c r="I11" s="8"/>
      <c r="J11" s="7">
        <v>35.46</v>
      </c>
      <c r="K11" s="10">
        <v>231</v>
      </c>
      <c r="L11" s="11">
        <f t="shared" si="0"/>
        <v>4.897180411278355</v>
      </c>
    </row>
    <row r="12" spans="1:12" x14ac:dyDescent="0.25">
      <c r="A12" s="6"/>
      <c r="B12" s="7">
        <v>4717</v>
      </c>
      <c r="C12" s="6"/>
      <c r="D12" s="10">
        <v>11</v>
      </c>
      <c r="E12" s="8"/>
      <c r="F12" s="8"/>
      <c r="G12" s="8"/>
      <c r="H12" s="8"/>
      <c r="I12" s="8"/>
      <c r="J12" s="7">
        <v>29.23</v>
      </c>
      <c r="K12" s="10">
        <v>1203</v>
      </c>
      <c r="L12" s="11">
        <f t="shared" si="0"/>
        <v>25.503497986008057</v>
      </c>
    </row>
    <row r="13" spans="1:12" x14ac:dyDescent="0.25">
      <c r="A13" s="6"/>
      <c r="B13" s="7">
        <v>4717</v>
      </c>
      <c r="C13" s="7" t="s">
        <v>8</v>
      </c>
      <c r="D13" s="10"/>
      <c r="E13" s="8" t="s">
        <v>15</v>
      </c>
      <c r="F13" s="8">
        <v>16</v>
      </c>
      <c r="G13" s="8">
        <v>1.9E-3</v>
      </c>
      <c r="H13" s="8">
        <v>1024</v>
      </c>
      <c r="I13" s="8">
        <v>2</v>
      </c>
      <c r="J13" s="7">
        <v>34.950000000000003</v>
      </c>
      <c r="K13" s="10">
        <v>5</v>
      </c>
      <c r="L13" s="11">
        <f t="shared" si="0"/>
        <v>0.10599957600169599</v>
      </c>
    </row>
    <row r="14" spans="1:12" x14ac:dyDescent="0.25">
      <c r="A14" s="6"/>
      <c r="B14" s="7">
        <v>4717</v>
      </c>
      <c r="C14" s="6" t="s">
        <v>16</v>
      </c>
      <c r="D14" s="10">
        <v>0.3</v>
      </c>
      <c r="E14" s="8"/>
      <c r="F14" s="8"/>
      <c r="G14" s="8"/>
      <c r="H14" s="8"/>
      <c r="I14" s="8"/>
      <c r="J14" s="7">
        <v>34.909999999999997</v>
      </c>
      <c r="K14" s="10">
        <v>229</v>
      </c>
      <c r="L14" s="11">
        <f t="shared" si="0"/>
        <v>4.8547805808776765</v>
      </c>
    </row>
    <row r="15" spans="1:12" x14ac:dyDescent="0.25">
      <c r="A15" s="6"/>
      <c r="B15" s="7">
        <v>4717</v>
      </c>
      <c r="C15" s="6"/>
      <c r="D15" s="10">
        <v>11</v>
      </c>
      <c r="E15" s="8"/>
      <c r="F15" s="8"/>
      <c r="G15" s="8"/>
      <c r="H15" s="8"/>
      <c r="I15" s="8"/>
      <c r="J15" s="7">
        <v>28.88</v>
      </c>
      <c r="K15" s="10">
        <v>1190</v>
      </c>
      <c r="L15" s="11">
        <f t="shared" si="0"/>
        <v>25.22789908840365</v>
      </c>
    </row>
    <row r="16" spans="1:12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2" x14ac:dyDescent="0.25">
      <c r="A18" s="6" t="s">
        <v>18</v>
      </c>
      <c r="B18" s="7">
        <v>4521</v>
      </c>
      <c r="C18" s="8" t="s">
        <v>17</v>
      </c>
      <c r="D18" s="7">
        <v>0.3</v>
      </c>
      <c r="E18" s="9"/>
      <c r="F18" s="9"/>
      <c r="G18" s="9"/>
      <c r="H18" s="9"/>
      <c r="I18" s="9"/>
      <c r="J18" s="10">
        <v>60.13</v>
      </c>
      <c r="K18" s="10">
        <v>216</v>
      </c>
      <c r="L18" s="11">
        <f>(K18/B18)*100</f>
        <v>4.7777040477770409</v>
      </c>
    </row>
    <row r="19" spans="1:12" x14ac:dyDescent="0.25">
      <c r="A19" s="6"/>
      <c r="B19" s="7">
        <v>4521</v>
      </c>
      <c r="C19" s="8"/>
      <c r="D19" s="7">
        <v>11</v>
      </c>
      <c r="E19" s="9"/>
      <c r="F19" s="9"/>
      <c r="G19" s="9"/>
      <c r="H19" s="9"/>
      <c r="I19" s="9"/>
      <c r="J19" s="10">
        <v>30.59</v>
      </c>
      <c r="K19" s="10">
        <v>1138</v>
      </c>
      <c r="L19" s="11">
        <f t="shared" ref="L19:L31" si="1">(K19/B19)*100</f>
        <v>25.171422251714219</v>
      </c>
    </row>
    <row r="20" spans="1:12" x14ac:dyDescent="0.25">
      <c r="A20" s="6"/>
      <c r="B20" s="7">
        <v>4521</v>
      </c>
      <c r="C20" s="7" t="s">
        <v>8</v>
      </c>
      <c r="D20" s="10"/>
      <c r="E20" s="8" t="s">
        <v>9</v>
      </c>
      <c r="F20" s="8">
        <v>11</v>
      </c>
      <c r="G20" s="8">
        <v>3.5000000000000001E-3</v>
      </c>
      <c r="H20" s="8">
        <v>65536</v>
      </c>
      <c r="I20" s="8">
        <v>221</v>
      </c>
      <c r="J20" s="7">
        <v>32.29</v>
      </c>
      <c r="K20" s="10">
        <v>7</v>
      </c>
      <c r="L20" s="11">
        <f t="shared" si="1"/>
        <v>0.15483300154833002</v>
      </c>
    </row>
    <row r="21" spans="1:12" x14ac:dyDescent="0.25">
      <c r="A21" s="6"/>
      <c r="B21" s="7">
        <v>4521</v>
      </c>
      <c r="C21" s="6" t="s">
        <v>16</v>
      </c>
      <c r="D21" s="10">
        <v>0.3</v>
      </c>
      <c r="E21" s="8"/>
      <c r="F21" s="8"/>
      <c r="G21" s="8"/>
      <c r="H21" s="8"/>
      <c r="I21" s="8"/>
      <c r="J21" s="7">
        <v>32.28</v>
      </c>
      <c r="K21" s="10">
        <v>217</v>
      </c>
      <c r="L21" s="11">
        <f t="shared" si="1"/>
        <v>4.7998230479982311</v>
      </c>
    </row>
    <row r="22" spans="1:12" x14ac:dyDescent="0.25">
      <c r="A22" s="6"/>
      <c r="B22" s="7">
        <v>4521</v>
      </c>
      <c r="C22" s="6"/>
      <c r="D22" s="10">
        <v>11</v>
      </c>
      <c r="E22" s="8"/>
      <c r="F22" s="8"/>
      <c r="G22" s="8"/>
      <c r="H22" s="8"/>
      <c r="I22" s="8"/>
      <c r="J22" s="7">
        <v>28.38</v>
      </c>
      <c r="K22" s="10">
        <v>1133</v>
      </c>
      <c r="L22" s="11">
        <f t="shared" si="1"/>
        <v>25.060827250608277</v>
      </c>
    </row>
    <row r="23" spans="1:12" x14ac:dyDescent="0.25">
      <c r="A23" s="6"/>
      <c r="B23" s="7">
        <v>4521</v>
      </c>
      <c r="C23" s="7" t="s">
        <v>8</v>
      </c>
      <c r="D23" s="10"/>
      <c r="E23" s="8" t="s">
        <v>13</v>
      </c>
      <c r="F23" s="8">
        <v>21</v>
      </c>
      <c r="G23" s="8">
        <v>2.3E-3</v>
      </c>
      <c r="H23" s="8">
        <v>16384</v>
      </c>
      <c r="I23" s="8">
        <v>38</v>
      </c>
      <c r="J23" s="7">
        <v>34.56</v>
      </c>
      <c r="K23" s="10">
        <v>8</v>
      </c>
      <c r="L23" s="11">
        <f t="shared" si="1"/>
        <v>0.17695200176952003</v>
      </c>
    </row>
    <row r="24" spans="1:12" x14ac:dyDescent="0.25">
      <c r="A24" s="6"/>
      <c r="B24" s="7">
        <v>4521</v>
      </c>
      <c r="C24" s="6" t="s">
        <v>16</v>
      </c>
      <c r="D24" s="10">
        <v>0.3</v>
      </c>
      <c r="E24" s="8"/>
      <c r="F24" s="8"/>
      <c r="G24" s="8"/>
      <c r="H24" s="8"/>
      <c r="I24" s="8"/>
      <c r="J24" s="7">
        <v>34.53</v>
      </c>
      <c r="K24" s="10">
        <v>220</v>
      </c>
      <c r="L24" s="11">
        <f t="shared" si="1"/>
        <v>4.8661800486618008</v>
      </c>
    </row>
    <row r="25" spans="1:12" x14ac:dyDescent="0.25">
      <c r="A25" s="6"/>
      <c r="B25" s="7">
        <v>4521</v>
      </c>
      <c r="C25" s="6"/>
      <c r="D25" s="10">
        <v>11</v>
      </c>
      <c r="E25" s="8"/>
      <c r="F25" s="8"/>
      <c r="G25" s="8"/>
      <c r="H25" s="8"/>
      <c r="I25" s="8"/>
      <c r="J25" s="7">
        <v>28.91</v>
      </c>
      <c r="K25" s="10">
        <v>1120</v>
      </c>
      <c r="L25" s="11">
        <f t="shared" si="1"/>
        <v>24.773280247732803</v>
      </c>
    </row>
    <row r="26" spans="1:12" x14ac:dyDescent="0.25">
      <c r="A26" s="6"/>
      <c r="B26" s="7">
        <v>4521</v>
      </c>
      <c r="C26" s="7" t="s">
        <v>8</v>
      </c>
      <c r="D26" s="10"/>
      <c r="E26" s="8" t="s">
        <v>14</v>
      </c>
      <c r="F26" s="8">
        <v>23</v>
      </c>
      <c r="G26" s="8">
        <v>2.2000000000000001E-3</v>
      </c>
      <c r="H26" s="8">
        <v>4096</v>
      </c>
      <c r="I26" s="8">
        <v>9</v>
      </c>
      <c r="J26" s="7">
        <v>35.47</v>
      </c>
      <c r="K26" s="10">
        <v>4</v>
      </c>
      <c r="L26" s="11">
        <f t="shared" si="1"/>
        <v>8.8476000884760014E-2</v>
      </c>
    </row>
    <row r="27" spans="1:12" x14ac:dyDescent="0.25">
      <c r="A27" s="6"/>
      <c r="B27" s="7">
        <v>4521</v>
      </c>
      <c r="C27" s="6" t="s">
        <v>16</v>
      </c>
      <c r="D27" s="10">
        <v>0.3</v>
      </c>
      <c r="E27" s="8"/>
      <c r="F27" s="8"/>
      <c r="G27" s="8"/>
      <c r="H27" s="8"/>
      <c r="I27" s="8"/>
      <c r="J27" s="7">
        <v>35.46</v>
      </c>
      <c r="K27" s="10">
        <v>224</v>
      </c>
      <c r="L27" s="11">
        <f t="shared" si="1"/>
        <v>4.9546560495465606</v>
      </c>
    </row>
    <row r="28" spans="1:12" x14ac:dyDescent="0.25">
      <c r="A28" s="6"/>
      <c r="B28" s="7">
        <v>4521</v>
      </c>
      <c r="C28" s="6"/>
      <c r="D28" s="10">
        <v>11</v>
      </c>
      <c r="E28" s="8"/>
      <c r="F28" s="8"/>
      <c r="G28" s="8"/>
      <c r="H28" s="8"/>
      <c r="I28" s="8"/>
      <c r="J28" s="7">
        <v>29.23</v>
      </c>
      <c r="K28" s="10">
        <v>1160</v>
      </c>
      <c r="L28" s="11">
        <f t="shared" si="1"/>
        <v>25.658040256580399</v>
      </c>
    </row>
    <row r="29" spans="1:12" x14ac:dyDescent="0.25">
      <c r="A29" s="6"/>
      <c r="B29" s="7">
        <v>4521</v>
      </c>
      <c r="C29" s="7" t="s">
        <v>8</v>
      </c>
      <c r="D29" s="10"/>
      <c r="E29" s="8" t="s">
        <v>15</v>
      </c>
      <c r="F29" s="8">
        <v>16</v>
      </c>
      <c r="G29" s="8">
        <v>1.9E-3</v>
      </c>
      <c r="H29" s="8">
        <v>1024</v>
      </c>
      <c r="I29" s="8">
        <v>2</v>
      </c>
      <c r="J29" s="7">
        <v>34.950000000000003</v>
      </c>
      <c r="K29" s="10">
        <v>5</v>
      </c>
      <c r="L29" s="11">
        <f t="shared" si="1"/>
        <v>0.11059500110595002</v>
      </c>
    </row>
    <row r="30" spans="1:12" x14ac:dyDescent="0.25">
      <c r="A30" s="6"/>
      <c r="B30" s="7">
        <v>4521</v>
      </c>
      <c r="C30" s="6" t="s">
        <v>16</v>
      </c>
      <c r="D30" s="10">
        <v>0.3</v>
      </c>
      <c r="E30" s="8"/>
      <c r="F30" s="8"/>
      <c r="G30" s="8"/>
      <c r="H30" s="8"/>
      <c r="I30" s="8"/>
      <c r="J30" s="7">
        <v>34.909999999999997</v>
      </c>
      <c r="K30" s="10">
        <v>225</v>
      </c>
      <c r="L30" s="11">
        <f t="shared" si="1"/>
        <v>4.9767750497677499</v>
      </c>
    </row>
    <row r="31" spans="1:12" x14ac:dyDescent="0.25">
      <c r="A31" s="6"/>
      <c r="B31" s="7">
        <v>4521</v>
      </c>
      <c r="C31" s="6"/>
      <c r="D31" s="10">
        <v>11</v>
      </c>
      <c r="E31" s="8"/>
      <c r="F31" s="8"/>
      <c r="G31" s="8"/>
      <c r="H31" s="8"/>
      <c r="I31" s="8"/>
      <c r="J31" s="7">
        <v>28.88</v>
      </c>
      <c r="K31" s="10">
        <v>1144</v>
      </c>
      <c r="L31" s="11">
        <f t="shared" si="1"/>
        <v>25.304136253041364</v>
      </c>
    </row>
    <row r="32" spans="1:12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2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2" x14ac:dyDescent="0.25">
      <c r="A34" s="6" t="s">
        <v>19</v>
      </c>
      <c r="B34" s="7">
        <v>3841</v>
      </c>
      <c r="C34" s="8" t="s">
        <v>17</v>
      </c>
      <c r="D34" s="7">
        <v>0.3</v>
      </c>
      <c r="E34" s="9"/>
      <c r="F34" s="9"/>
      <c r="G34" s="9"/>
      <c r="H34" s="9"/>
      <c r="I34" s="9"/>
      <c r="J34" s="10">
        <v>60.3</v>
      </c>
      <c r="K34" s="10">
        <v>182</v>
      </c>
      <c r="L34" s="11">
        <f>(K34/B34)*100</f>
        <v>4.7383493881801613</v>
      </c>
    </row>
    <row r="35" spans="1:12" x14ac:dyDescent="0.25">
      <c r="A35" s="6"/>
      <c r="B35" s="7">
        <v>3841</v>
      </c>
      <c r="C35" s="8"/>
      <c r="D35" s="7">
        <v>11</v>
      </c>
      <c r="E35" s="9"/>
      <c r="F35" s="9"/>
      <c r="G35" s="9"/>
      <c r="H35" s="9"/>
      <c r="I35" s="9"/>
      <c r="J35" s="10">
        <v>30.6</v>
      </c>
      <c r="K35" s="10">
        <v>962</v>
      </c>
      <c r="L35" s="11">
        <f t="shared" ref="L35:L47" si="2">(K35/B35)*100</f>
        <v>25.045561051809422</v>
      </c>
    </row>
    <row r="36" spans="1:12" x14ac:dyDescent="0.25">
      <c r="A36" s="6"/>
      <c r="B36" s="7">
        <v>3841</v>
      </c>
      <c r="C36" s="7" t="s">
        <v>8</v>
      </c>
      <c r="D36" s="10"/>
      <c r="E36" s="8" t="s">
        <v>9</v>
      </c>
      <c r="F36" s="8">
        <v>11</v>
      </c>
      <c r="G36" s="8">
        <v>3.5000000000000001E-3</v>
      </c>
      <c r="H36" s="8">
        <v>65536</v>
      </c>
      <c r="I36" s="8">
        <v>221</v>
      </c>
      <c r="J36" s="7">
        <v>32.29</v>
      </c>
      <c r="K36" s="10">
        <v>6</v>
      </c>
      <c r="L36" s="11">
        <f t="shared" si="2"/>
        <v>0.15620932048945588</v>
      </c>
    </row>
    <row r="37" spans="1:12" x14ac:dyDescent="0.25">
      <c r="A37" s="6"/>
      <c r="B37" s="7">
        <v>3841</v>
      </c>
      <c r="C37" s="6" t="s">
        <v>16</v>
      </c>
      <c r="D37" s="10">
        <v>0.3</v>
      </c>
      <c r="E37" s="8"/>
      <c r="F37" s="8"/>
      <c r="G37" s="8"/>
      <c r="H37" s="8"/>
      <c r="I37" s="8"/>
      <c r="J37" s="7">
        <v>32.28</v>
      </c>
      <c r="K37" s="10">
        <v>181</v>
      </c>
      <c r="L37" s="11">
        <f t="shared" si="2"/>
        <v>4.7123145014319192</v>
      </c>
    </row>
    <row r="38" spans="1:12" x14ac:dyDescent="0.25">
      <c r="A38" s="6"/>
      <c r="B38" s="7">
        <v>3841</v>
      </c>
      <c r="C38" s="6"/>
      <c r="D38" s="10">
        <v>11</v>
      </c>
      <c r="E38" s="8"/>
      <c r="F38" s="8"/>
      <c r="G38" s="8"/>
      <c r="H38" s="8"/>
      <c r="I38" s="8"/>
      <c r="J38" s="7">
        <v>28.38</v>
      </c>
      <c r="K38" s="10">
        <v>969</v>
      </c>
      <c r="L38" s="11">
        <f t="shared" si="2"/>
        <v>25.227805259047127</v>
      </c>
    </row>
    <row r="39" spans="1:12" x14ac:dyDescent="0.25">
      <c r="A39" s="6"/>
      <c r="B39" s="7">
        <v>3841</v>
      </c>
      <c r="C39" s="7" t="s">
        <v>8</v>
      </c>
      <c r="D39" s="10"/>
      <c r="E39" s="8" t="s">
        <v>13</v>
      </c>
      <c r="F39" s="8">
        <v>21</v>
      </c>
      <c r="G39" s="8">
        <v>2.3E-3</v>
      </c>
      <c r="H39" s="8">
        <v>16384</v>
      </c>
      <c r="I39" s="8">
        <v>38</v>
      </c>
      <c r="J39" s="7">
        <v>34.56</v>
      </c>
      <c r="K39" s="10">
        <v>7</v>
      </c>
      <c r="L39" s="11">
        <f t="shared" si="2"/>
        <v>0.18224420723769852</v>
      </c>
    </row>
    <row r="40" spans="1:12" x14ac:dyDescent="0.25">
      <c r="A40" s="6"/>
      <c r="B40" s="7">
        <v>3841</v>
      </c>
      <c r="C40" s="6" t="s">
        <v>16</v>
      </c>
      <c r="D40" s="10">
        <v>0.3</v>
      </c>
      <c r="E40" s="8"/>
      <c r="F40" s="8"/>
      <c r="G40" s="8"/>
      <c r="H40" s="8"/>
      <c r="I40" s="8"/>
      <c r="J40" s="7">
        <v>34.53</v>
      </c>
      <c r="K40" s="10">
        <v>188</v>
      </c>
      <c r="L40" s="11">
        <f t="shared" si="2"/>
        <v>4.8945587086696172</v>
      </c>
    </row>
    <row r="41" spans="1:12" x14ac:dyDescent="0.25">
      <c r="A41" s="6"/>
      <c r="B41" s="7">
        <v>3841</v>
      </c>
      <c r="C41" s="6"/>
      <c r="D41" s="10">
        <v>11</v>
      </c>
      <c r="E41" s="8"/>
      <c r="F41" s="8"/>
      <c r="G41" s="8"/>
      <c r="H41" s="8"/>
      <c r="I41" s="8"/>
      <c r="J41" s="7">
        <v>28.91</v>
      </c>
      <c r="K41" s="10">
        <v>952</v>
      </c>
      <c r="L41" s="11">
        <f t="shared" si="2"/>
        <v>24.785212184326998</v>
      </c>
    </row>
    <row r="42" spans="1:12" x14ac:dyDescent="0.25">
      <c r="A42" s="6"/>
      <c r="B42" s="7">
        <v>3841</v>
      </c>
      <c r="C42" s="7" t="s">
        <v>8</v>
      </c>
      <c r="D42" s="10"/>
      <c r="E42" s="8" t="s">
        <v>14</v>
      </c>
      <c r="F42" s="8">
        <v>23</v>
      </c>
      <c r="G42" s="8">
        <v>2.2000000000000001E-3</v>
      </c>
      <c r="H42" s="8">
        <v>4096</v>
      </c>
      <c r="I42" s="8">
        <v>9</v>
      </c>
      <c r="J42" s="7">
        <v>35.47</v>
      </c>
      <c r="K42" s="10">
        <v>3</v>
      </c>
      <c r="L42" s="11">
        <f t="shared" si="2"/>
        <v>7.8104660244727939E-2</v>
      </c>
    </row>
    <row r="43" spans="1:12" x14ac:dyDescent="0.25">
      <c r="A43" s="6"/>
      <c r="B43" s="7">
        <v>3841</v>
      </c>
      <c r="C43" s="6" t="s">
        <v>16</v>
      </c>
      <c r="D43" s="10">
        <v>0.3</v>
      </c>
      <c r="E43" s="8"/>
      <c r="F43" s="8"/>
      <c r="G43" s="8"/>
      <c r="H43" s="8"/>
      <c r="I43" s="8"/>
      <c r="J43" s="7">
        <v>35.46</v>
      </c>
      <c r="K43" s="10">
        <v>190</v>
      </c>
      <c r="L43" s="11">
        <f t="shared" si="2"/>
        <v>4.9466284821661022</v>
      </c>
    </row>
    <row r="44" spans="1:12" x14ac:dyDescent="0.25">
      <c r="A44" s="6"/>
      <c r="B44" s="7">
        <v>3841</v>
      </c>
      <c r="C44" s="6"/>
      <c r="D44" s="10">
        <v>11</v>
      </c>
      <c r="E44" s="8"/>
      <c r="F44" s="8"/>
      <c r="G44" s="8"/>
      <c r="H44" s="8"/>
      <c r="I44" s="8"/>
      <c r="J44" s="7">
        <v>29.23</v>
      </c>
      <c r="K44" s="10">
        <v>988</v>
      </c>
      <c r="L44" s="11">
        <f t="shared" si="2"/>
        <v>25.722468107263737</v>
      </c>
    </row>
    <row r="45" spans="1:12" x14ac:dyDescent="0.25">
      <c r="A45" s="6"/>
      <c r="B45" s="7">
        <v>3841</v>
      </c>
      <c r="C45" s="7" t="s">
        <v>8</v>
      </c>
      <c r="D45" s="10"/>
      <c r="E45" s="8" t="s">
        <v>15</v>
      </c>
      <c r="F45" s="8">
        <v>16</v>
      </c>
      <c r="G45" s="8">
        <v>1.9E-3</v>
      </c>
      <c r="H45" s="8">
        <v>1024</v>
      </c>
      <c r="I45" s="8">
        <v>2</v>
      </c>
      <c r="J45" s="7">
        <v>34.950000000000003</v>
      </c>
      <c r="K45" s="10">
        <v>4</v>
      </c>
      <c r="L45" s="11">
        <f t="shared" si="2"/>
        <v>0.10413954699297059</v>
      </c>
    </row>
    <row r="46" spans="1:12" x14ac:dyDescent="0.25">
      <c r="A46" s="6"/>
      <c r="B46" s="7">
        <v>3841</v>
      </c>
      <c r="C46" s="6" t="s">
        <v>16</v>
      </c>
      <c r="D46" s="10">
        <v>0.3</v>
      </c>
      <c r="E46" s="8"/>
      <c r="F46" s="8"/>
      <c r="G46" s="8"/>
      <c r="H46" s="8"/>
      <c r="I46" s="8"/>
      <c r="J46" s="7">
        <v>34.909999999999997</v>
      </c>
      <c r="K46" s="10">
        <v>189</v>
      </c>
      <c r="L46" s="11">
        <f t="shared" si="2"/>
        <v>4.9205935954178592</v>
      </c>
    </row>
    <row r="47" spans="1:12" x14ac:dyDescent="0.25">
      <c r="A47" s="6"/>
      <c r="B47" s="7">
        <v>3841</v>
      </c>
      <c r="C47" s="6"/>
      <c r="D47" s="10">
        <v>11</v>
      </c>
      <c r="E47" s="8"/>
      <c r="F47" s="8"/>
      <c r="G47" s="8"/>
      <c r="H47" s="8"/>
      <c r="I47" s="8"/>
      <c r="J47" s="7">
        <v>28.88</v>
      </c>
      <c r="K47" s="10">
        <v>976</v>
      </c>
      <c r="L47" s="11">
        <f t="shared" si="2"/>
        <v>25.410049466284825</v>
      </c>
    </row>
    <row r="48" spans="1:12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</sheetData>
  <mergeCells count="84">
    <mergeCell ref="A48:K49"/>
    <mergeCell ref="C43:C44"/>
    <mergeCell ref="E45:E47"/>
    <mergeCell ref="F45:F47"/>
    <mergeCell ref="G45:G47"/>
    <mergeCell ref="H45:H47"/>
    <mergeCell ref="I45:I47"/>
    <mergeCell ref="C46:C47"/>
    <mergeCell ref="F39:F41"/>
    <mergeCell ref="G39:G41"/>
    <mergeCell ref="H39:H41"/>
    <mergeCell ref="I39:I41"/>
    <mergeCell ref="A16:K17"/>
    <mergeCell ref="A32:K33"/>
    <mergeCell ref="C37:C38"/>
    <mergeCell ref="E39:E41"/>
    <mergeCell ref="I29:I31"/>
    <mergeCell ref="C30:C31"/>
    <mergeCell ref="C40:C41"/>
    <mergeCell ref="A34:A47"/>
    <mergeCell ref="C34:C35"/>
    <mergeCell ref="E34:I35"/>
    <mergeCell ref="E36:E38"/>
    <mergeCell ref="F36:F38"/>
    <mergeCell ref="G36:G38"/>
    <mergeCell ref="H36:H38"/>
    <mergeCell ref="I36:I38"/>
    <mergeCell ref="E42:E44"/>
    <mergeCell ref="F42:F44"/>
    <mergeCell ref="G42:G44"/>
    <mergeCell ref="H42:H44"/>
    <mergeCell ref="I42:I44"/>
    <mergeCell ref="C27:C28"/>
    <mergeCell ref="E29:E31"/>
    <mergeCell ref="F29:F31"/>
    <mergeCell ref="G29:G31"/>
    <mergeCell ref="H29:H31"/>
    <mergeCell ref="F26:F28"/>
    <mergeCell ref="G26:G28"/>
    <mergeCell ref="H26:H28"/>
    <mergeCell ref="I10:I12"/>
    <mergeCell ref="I13:I15"/>
    <mergeCell ref="F23:F25"/>
    <mergeCell ref="G23:G25"/>
    <mergeCell ref="H23:H25"/>
    <mergeCell ref="I26:I28"/>
    <mergeCell ref="G7:G9"/>
    <mergeCell ref="H7:H9"/>
    <mergeCell ref="I7:I9"/>
    <mergeCell ref="A18:A31"/>
    <mergeCell ref="C18:C19"/>
    <mergeCell ref="E18:I19"/>
    <mergeCell ref="E20:E22"/>
    <mergeCell ref="F20:F22"/>
    <mergeCell ref="G20:G22"/>
    <mergeCell ref="H20:H22"/>
    <mergeCell ref="I20:I22"/>
    <mergeCell ref="C21:C22"/>
    <mergeCell ref="E23:E25"/>
    <mergeCell ref="I23:I25"/>
    <mergeCell ref="C24:C25"/>
    <mergeCell ref="E26:E28"/>
    <mergeCell ref="A2:A15"/>
    <mergeCell ref="C11:C12"/>
    <mergeCell ref="C14:C15"/>
    <mergeCell ref="E10:E12"/>
    <mergeCell ref="E13:E15"/>
    <mergeCell ref="C5:C6"/>
    <mergeCell ref="C8:C9"/>
    <mergeCell ref="E2:I3"/>
    <mergeCell ref="C2:C3"/>
    <mergeCell ref="E4:E6"/>
    <mergeCell ref="F4:F6"/>
    <mergeCell ref="G4:G6"/>
    <mergeCell ref="H4:H6"/>
    <mergeCell ref="I4:I6"/>
    <mergeCell ref="E7:E9"/>
    <mergeCell ref="F7:F9"/>
    <mergeCell ref="F10:F12"/>
    <mergeCell ref="F13:F15"/>
    <mergeCell ref="G10:G12"/>
    <mergeCell ref="G13:G15"/>
    <mergeCell ref="H10:H12"/>
    <mergeCell ref="H13:H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E623B-8001-473D-A413-5D23527DFA28}">
  <dimension ref="A1:M49"/>
  <sheetViews>
    <sheetView zoomScale="80" zoomScaleNormal="80" workbookViewId="0">
      <selection activeCell="C21" sqref="C21:C22"/>
    </sheetView>
  </sheetViews>
  <sheetFormatPr defaultRowHeight="15" x14ac:dyDescent="0.25"/>
  <cols>
    <col min="1" max="1" width="15.42578125" bestFit="1" customWidth="1"/>
    <col min="2" max="2" width="15.42578125" customWidth="1"/>
    <col min="3" max="3" width="30.7109375" bestFit="1" customWidth="1"/>
    <col min="4" max="4" width="20.28515625" bestFit="1" customWidth="1"/>
    <col min="5" max="5" width="12" bestFit="1" customWidth="1"/>
    <col min="6" max="6" width="27.28515625" bestFit="1" customWidth="1"/>
    <col min="7" max="7" width="21.42578125" bestFit="1" customWidth="1"/>
    <col min="8" max="8" width="25.28515625" bestFit="1" customWidth="1"/>
    <col min="9" max="9" width="32" customWidth="1"/>
    <col min="10" max="10" width="8.5703125" customWidth="1"/>
    <col min="11" max="11" width="17.28515625" bestFit="1" customWidth="1"/>
    <col min="12" max="13" width="9.140625" style="1"/>
  </cols>
  <sheetData>
    <row r="1" spans="1:12" ht="75" customHeight="1" x14ac:dyDescent="0.25">
      <c r="A1" s="12" t="s">
        <v>0</v>
      </c>
      <c r="B1" s="13" t="s">
        <v>2</v>
      </c>
      <c r="C1" s="13" t="s">
        <v>1</v>
      </c>
      <c r="D1" s="12" t="s">
        <v>3</v>
      </c>
      <c r="E1" s="12" t="s">
        <v>4</v>
      </c>
      <c r="F1" s="12" t="s">
        <v>10</v>
      </c>
      <c r="G1" s="13" t="s">
        <v>11</v>
      </c>
      <c r="H1" s="12" t="s">
        <v>5</v>
      </c>
      <c r="I1" s="12" t="s">
        <v>6</v>
      </c>
      <c r="J1" s="13" t="s">
        <v>12</v>
      </c>
      <c r="K1" s="13" t="s">
        <v>20</v>
      </c>
      <c r="L1" s="13" t="s">
        <v>21</v>
      </c>
    </row>
    <row r="2" spans="1:12" x14ac:dyDescent="0.25">
      <c r="A2" s="6" t="s">
        <v>7</v>
      </c>
      <c r="B2" s="7">
        <v>23523</v>
      </c>
      <c r="C2" s="8" t="s">
        <v>17</v>
      </c>
      <c r="D2" s="7">
        <v>0.3</v>
      </c>
      <c r="E2" s="9"/>
      <c r="F2" s="9"/>
      <c r="G2" s="9"/>
      <c r="H2" s="9"/>
      <c r="I2" s="9"/>
      <c r="J2" s="10">
        <v>56.8</v>
      </c>
      <c r="K2" s="10">
        <v>1111</v>
      </c>
      <c r="L2" s="11">
        <f>(K2/B2)*100</f>
        <v>4.7230370275900189</v>
      </c>
    </row>
    <row r="3" spans="1:12" x14ac:dyDescent="0.25">
      <c r="A3" s="6"/>
      <c r="B3" s="7">
        <v>23523</v>
      </c>
      <c r="C3" s="8"/>
      <c r="D3" s="7">
        <v>11</v>
      </c>
      <c r="E3" s="9"/>
      <c r="F3" s="9"/>
      <c r="G3" s="9"/>
      <c r="H3" s="9"/>
      <c r="I3" s="9"/>
      <c r="J3" s="10">
        <v>30.59</v>
      </c>
      <c r="K3" s="10">
        <v>5907</v>
      </c>
      <c r="L3" s="11">
        <f t="shared" ref="L3:L15" si="0">(K3/B3)*100</f>
        <v>25.111592909067721</v>
      </c>
    </row>
    <row r="4" spans="1:12" x14ac:dyDescent="0.25">
      <c r="A4" s="6"/>
      <c r="B4" s="7">
        <v>23523</v>
      </c>
      <c r="C4" s="7" t="s">
        <v>8</v>
      </c>
      <c r="D4" s="10"/>
      <c r="E4" s="8" t="s">
        <v>9</v>
      </c>
      <c r="F4" s="8">
        <v>11</v>
      </c>
      <c r="G4" s="8">
        <v>3.5000000000000001E-3</v>
      </c>
      <c r="H4" s="8">
        <v>65536</v>
      </c>
      <c r="I4" s="8">
        <v>221</v>
      </c>
      <c r="J4" s="7">
        <v>32.29</v>
      </c>
      <c r="K4" s="10">
        <v>40</v>
      </c>
      <c r="L4" s="11">
        <f t="shared" si="0"/>
        <v>0.17004633762700336</v>
      </c>
    </row>
    <row r="5" spans="1:12" x14ac:dyDescent="0.25">
      <c r="A5" s="6"/>
      <c r="B5" s="7">
        <v>23523</v>
      </c>
      <c r="C5" s="6" t="s">
        <v>16</v>
      </c>
      <c r="D5" s="10">
        <v>0.3</v>
      </c>
      <c r="E5" s="8"/>
      <c r="F5" s="8"/>
      <c r="G5" s="8"/>
      <c r="H5" s="8"/>
      <c r="I5" s="8"/>
      <c r="J5" s="7">
        <v>32.28</v>
      </c>
      <c r="K5" s="10">
        <v>1164</v>
      </c>
      <c r="L5" s="11">
        <f t="shared" si="0"/>
        <v>4.9483484249457979</v>
      </c>
    </row>
    <row r="6" spans="1:12" x14ac:dyDescent="0.25">
      <c r="A6" s="6"/>
      <c r="B6" s="7">
        <v>23523</v>
      </c>
      <c r="C6" s="6"/>
      <c r="D6" s="10">
        <v>11</v>
      </c>
      <c r="E6" s="8"/>
      <c r="F6" s="8"/>
      <c r="G6" s="8"/>
      <c r="H6" s="8"/>
      <c r="I6" s="8"/>
      <c r="J6" s="7">
        <v>28.38</v>
      </c>
      <c r="K6" s="10">
        <v>5872</v>
      </c>
      <c r="L6" s="11">
        <f t="shared" si="0"/>
        <v>24.962802363644094</v>
      </c>
    </row>
    <row r="7" spans="1:12" x14ac:dyDescent="0.25">
      <c r="A7" s="6"/>
      <c r="B7" s="7">
        <v>23523</v>
      </c>
      <c r="C7" s="7" t="s">
        <v>8</v>
      </c>
      <c r="D7" s="10"/>
      <c r="E7" s="8" t="s">
        <v>13</v>
      </c>
      <c r="F7" s="8">
        <v>21</v>
      </c>
      <c r="G7" s="8">
        <v>2.3E-3</v>
      </c>
      <c r="H7" s="8">
        <v>16384</v>
      </c>
      <c r="I7" s="8">
        <v>38</v>
      </c>
      <c r="J7" s="7">
        <v>34.56</v>
      </c>
      <c r="K7" s="10">
        <v>36</v>
      </c>
      <c r="L7" s="11">
        <f t="shared" si="0"/>
        <v>0.15304170386430302</v>
      </c>
    </row>
    <row r="8" spans="1:12" x14ac:dyDescent="0.25">
      <c r="A8" s="6"/>
      <c r="B8" s="7">
        <v>23523</v>
      </c>
      <c r="C8" s="6" t="s">
        <v>16</v>
      </c>
      <c r="D8" s="10">
        <v>0.3</v>
      </c>
      <c r="E8" s="8"/>
      <c r="F8" s="8"/>
      <c r="G8" s="8"/>
      <c r="H8" s="8"/>
      <c r="I8" s="8"/>
      <c r="J8" s="7">
        <v>34.53</v>
      </c>
      <c r="K8" s="10">
        <v>1161</v>
      </c>
      <c r="L8" s="11">
        <f t="shared" si="0"/>
        <v>4.9355949496237725</v>
      </c>
    </row>
    <row r="9" spans="1:12" x14ac:dyDescent="0.25">
      <c r="A9" s="6"/>
      <c r="B9" s="7">
        <v>23523</v>
      </c>
      <c r="C9" s="6"/>
      <c r="D9" s="10">
        <v>11</v>
      </c>
      <c r="E9" s="8"/>
      <c r="F9" s="8"/>
      <c r="G9" s="8"/>
      <c r="H9" s="8"/>
      <c r="I9" s="8"/>
      <c r="J9" s="7">
        <v>28.91</v>
      </c>
      <c r="K9" s="10">
        <v>5842</v>
      </c>
      <c r="L9" s="11">
        <f t="shared" si="0"/>
        <v>24.835267610423841</v>
      </c>
    </row>
    <row r="10" spans="1:12" x14ac:dyDescent="0.25">
      <c r="A10" s="6"/>
      <c r="B10" s="7">
        <v>23523</v>
      </c>
      <c r="C10" s="7" t="s">
        <v>8</v>
      </c>
      <c r="D10" s="10"/>
      <c r="E10" s="8" t="s">
        <v>14</v>
      </c>
      <c r="F10" s="8">
        <v>23</v>
      </c>
      <c r="G10" s="8">
        <v>2.2000000000000001E-3</v>
      </c>
      <c r="H10" s="8">
        <v>4096</v>
      </c>
      <c r="I10" s="8">
        <v>9</v>
      </c>
      <c r="J10" s="7">
        <v>35.47</v>
      </c>
      <c r="K10" s="10">
        <v>26</v>
      </c>
      <c r="L10" s="11">
        <f t="shared" si="0"/>
        <v>0.11053011945755219</v>
      </c>
    </row>
    <row r="11" spans="1:12" x14ac:dyDescent="0.25">
      <c r="A11" s="6"/>
      <c r="B11" s="7">
        <v>23523</v>
      </c>
      <c r="C11" s="6" t="s">
        <v>16</v>
      </c>
      <c r="D11" s="10">
        <v>0.3</v>
      </c>
      <c r="E11" s="8"/>
      <c r="F11" s="8"/>
      <c r="G11" s="8"/>
      <c r="H11" s="8"/>
      <c r="I11" s="8"/>
      <c r="J11" s="7">
        <v>35.46</v>
      </c>
      <c r="K11" s="10">
        <v>1172</v>
      </c>
      <c r="L11" s="11">
        <f t="shared" si="0"/>
        <v>4.9823576924711981</v>
      </c>
    </row>
    <row r="12" spans="1:12" x14ac:dyDescent="0.25">
      <c r="A12" s="6"/>
      <c r="B12" s="7">
        <v>23523</v>
      </c>
      <c r="C12" s="6"/>
      <c r="D12" s="10">
        <v>11</v>
      </c>
      <c r="E12" s="8"/>
      <c r="F12" s="8"/>
      <c r="G12" s="8"/>
      <c r="H12" s="8"/>
      <c r="I12" s="8"/>
      <c r="J12" s="7">
        <v>29.23</v>
      </c>
      <c r="K12" s="10">
        <v>5931</v>
      </c>
      <c r="L12" s="11">
        <f t="shared" si="0"/>
        <v>25.213620711643927</v>
      </c>
    </row>
    <row r="13" spans="1:12" x14ac:dyDescent="0.25">
      <c r="A13" s="6"/>
      <c r="B13" s="7">
        <v>23523</v>
      </c>
      <c r="C13" s="7" t="s">
        <v>8</v>
      </c>
      <c r="D13" s="10"/>
      <c r="E13" s="8" t="s">
        <v>15</v>
      </c>
      <c r="F13" s="8">
        <v>16</v>
      </c>
      <c r="G13" s="8">
        <v>1.9E-3</v>
      </c>
      <c r="H13" s="8">
        <v>1024</v>
      </c>
      <c r="I13" s="8">
        <v>2</v>
      </c>
      <c r="J13" s="7">
        <v>34.950000000000003</v>
      </c>
      <c r="K13" s="10">
        <v>25</v>
      </c>
      <c r="L13" s="11">
        <f t="shared" si="0"/>
        <v>0.10627896101687709</v>
      </c>
    </row>
    <row r="14" spans="1:12" x14ac:dyDescent="0.25">
      <c r="A14" s="6"/>
      <c r="B14" s="7">
        <v>23523</v>
      </c>
      <c r="C14" s="6" t="s">
        <v>16</v>
      </c>
      <c r="D14" s="10">
        <v>0.3</v>
      </c>
      <c r="E14" s="8"/>
      <c r="F14" s="8"/>
      <c r="G14" s="8"/>
      <c r="H14" s="8"/>
      <c r="I14" s="8"/>
      <c r="J14" s="7">
        <v>34.909999999999997</v>
      </c>
      <c r="K14" s="10">
        <v>1148</v>
      </c>
      <c r="L14" s="11">
        <f t="shared" si="0"/>
        <v>4.8803298898949965</v>
      </c>
    </row>
    <row r="15" spans="1:12" x14ac:dyDescent="0.25">
      <c r="A15" s="6"/>
      <c r="B15" s="7">
        <v>23523</v>
      </c>
      <c r="C15" s="6"/>
      <c r="D15" s="10">
        <v>11</v>
      </c>
      <c r="E15" s="8"/>
      <c r="F15" s="8"/>
      <c r="G15" s="8"/>
      <c r="H15" s="8"/>
      <c r="I15" s="8"/>
      <c r="J15" s="7">
        <v>28.88</v>
      </c>
      <c r="K15" s="10">
        <v>5932</v>
      </c>
      <c r="L15" s="11">
        <f t="shared" si="0"/>
        <v>25.217871870084597</v>
      </c>
    </row>
    <row r="16" spans="1:12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2" x14ac:dyDescent="0.25">
      <c r="A18" s="6" t="s">
        <v>18</v>
      </c>
      <c r="B18" s="7">
        <v>23436</v>
      </c>
      <c r="C18" s="8" t="s">
        <v>17</v>
      </c>
      <c r="D18" s="7">
        <v>0.3</v>
      </c>
      <c r="E18" s="9"/>
      <c r="F18" s="9"/>
      <c r="G18" s="9"/>
      <c r="H18" s="9"/>
      <c r="I18" s="9"/>
      <c r="J18" s="10">
        <v>56.8</v>
      </c>
      <c r="K18" s="10">
        <v>1117</v>
      </c>
      <c r="L18" s="11">
        <f>(K18/B18)*100</f>
        <v>4.7661717016555727</v>
      </c>
    </row>
    <row r="19" spans="1:12" x14ac:dyDescent="0.25">
      <c r="A19" s="6"/>
      <c r="B19" s="7">
        <v>23436</v>
      </c>
      <c r="C19" s="8"/>
      <c r="D19" s="7">
        <v>11</v>
      </c>
      <c r="E19" s="9"/>
      <c r="F19" s="9"/>
      <c r="G19" s="9"/>
      <c r="H19" s="9"/>
      <c r="I19" s="9"/>
      <c r="J19" s="10">
        <v>30.59</v>
      </c>
      <c r="K19" s="10">
        <v>5880</v>
      </c>
      <c r="L19" s="11">
        <f t="shared" ref="L19:L31" si="1">(K19/B19)*100</f>
        <v>25.089605734767023</v>
      </c>
    </row>
    <row r="20" spans="1:12" x14ac:dyDescent="0.25">
      <c r="A20" s="6"/>
      <c r="B20" s="7">
        <v>23436</v>
      </c>
      <c r="C20" s="7" t="s">
        <v>8</v>
      </c>
      <c r="D20" s="10"/>
      <c r="E20" s="8" t="s">
        <v>9</v>
      </c>
      <c r="F20" s="8">
        <v>11</v>
      </c>
      <c r="G20" s="8">
        <v>3.5000000000000001E-3</v>
      </c>
      <c r="H20" s="8">
        <v>65536</v>
      </c>
      <c r="I20" s="8">
        <v>221</v>
      </c>
      <c r="J20" s="7">
        <v>32.29</v>
      </c>
      <c r="K20" s="10">
        <v>40</v>
      </c>
      <c r="L20" s="11">
        <f t="shared" si="1"/>
        <v>0.17067759003242874</v>
      </c>
    </row>
    <row r="21" spans="1:12" x14ac:dyDescent="0.25">
      <c r="A21" s="6"/>
      <c r="B21" s="7">
        <v>23436</v>
      </c>
      <c r="C21" s="6" t="s">
        <v>16</v>
      </c>
      <c r="D21" s="10">
        <v>0.3</v>
      </c>
      <c r="E21" s="8"/>
      <c r="F21" s="8"/>
      <c r="G21" s="8"/>
      <c r="H21" s="8"/>
      <c r="I21" s="8"/>
      <c r="J21" s="7">
        <v>32.28</v>
      </c>
      <c r="K21" s="10">
        <v>1158</v>
      </c>
      <c r="L21" s="11">
        <f t="shared" si="1"/>
        <v>4.9411162314388122</v>
      </c>
    </row>
    <row r="22" spans="1:12" x14ac:dyDescent="0.25">
      <c r="A22" s="6"/>
      <c r="B22" s="7">
        <v>23436</v>
      </c>
      <c r="C22" s="6"/>
      <c r="D22" s="10">
        <v>11</v>
      </c>
      <c r="E22" s="8"/>
      <c r="F22" s="8"/>
      <c r="G22" s="8"/>
      <c r="H22" s="8"/>
      <c r="I22" s="8"/>
      <c r="J22" s="7">
        <v>28.38</v>
      </c>
      <c r="K22" s="10">
        <v>5880</v>
      </c>
      <c r="L22" s="11">
        <f t="shared" si="1"/>
        <v>25.089605734767023</v>
      </c>
    </row>
    <row r="23" spans="1:12" x14ac:dyDescent="0.25">
      <c r="A23" s="6"/>
      <c r="B23" s="7">
        <v>23436</v>
      </c>
      <c r="C23" s="7" t="s">
        <v>8</v>
      </c>
      <c r="D23" s="10"/>
      <c r="E23" s="8" t="s">
        <v>13</v>
      </c>
      <c r="F23" s="8">
        <v>21</v>
      </c>
      <c r="G23" s="8">
        <v>2.3E-3</v>
      </c>
      <c r="H23" s="8">
        <v>16384</v>
      </c>
      <c r="I23" s="8">
        <v>38</v>
      </c>
      <c r="J23" s="7">
        <v>34.56</v>
      </c>
      <c r="K23" s="10">
        <v>36</v>
      </c>
      <c r="L23" s="11">
        <f t="shared" si="1"/>
        <v>0.15360983102918588</v>
      </c>
    </row>
    <row r="24" spans="1:12" x14ac:dyDescent="0.25">
      <c r="A24" s="6"/>
      <c r="B24" s="7">
        <v>23436</v>
      </c>
      <c r="C24" s="6" t="s">
        <v>16</v>
      </c>
      <c r="D24" s="10">
        <v>0.3</v>
      </c>
      <c r="E24" s="8"/>
      <c r="F24" s="8"/>
      <c r="G24" s="8"/>
      <c r="H24" s="8"/>
      <c r="I24" s="8"/>
      <c r="J24" s="7">
        <v>34.53</v>
      </c>
      <c r="K24" s="10">
        <v>1149</v>
      </c>
      <c r="L24" s="11">
        <f t="shared" si="1"/>
        <v>4.9027137736815156</v>
      </c>
    </row>
    <row r="25" spans="1:12" x14ac:dyDescent="0.25">
      <c r="A25" s="6"/>
      <c r="B25" s="7">
        <v>23436</v>
      </c>
      <c r="C25" s="6"/>
      <c r="D25" s="10">
        <v>11</v>
      </c>
      <c r="E25" s="8"/>
      <c r="F25" s="8"/>
      <c r="G25" s="8"/>
      <c r="H25" s="8"/>
      <c r="I25" s="8"/>
      <c r="J25" s="7">
        <v>28.91</v>
      </c>
      <c r="K25" s="10">
        <v>5814</v>
      </c>
      <c r="L25" s="11">
        <f t="shared" si="1"/>
        <v>24.807987711213517</v>
      </c>
    </row>
    <row r="26" spans="1:12" x14ac:dyDescent="0.25">
      <c r="A26" s="6"/>
      <c r="B26" s="7">
        <v>23436</v>
      </c>
      <c r="C26" s="7" t="s">
        <v>8</v>
      </c>
      <c r="D26" s="10"/>
      <c r="E26" s="8" t="s">
        <v>14</v>
      </c>
      <c r="F26" s="8">
        <v>23</v>
      </c>
      <c r="G26" s="8">
        <v>2.2000000000000001E-3</v>
      </c>
      <c r="H26" s="8">
        <v>4096</v>
      </c>
      <c r="I26" s="8">
        <v>9</v>
      </c>
      <c r="J26" s="7">
        <v>35.47</v>
      </c>
      <c r="K26" s="10">
        <v>25</v>
      </c>
      <c r="L26" s="11">
        <f t="shared" si="1"/>
        <v>0.10667349377026795</v>
      </c>
    </row>
    <row r="27" spans="1:12" x14ac:dyDescent="0.25">
      <c r="A27" s="6"/>
      <c r="B27" s="7">
        <v>23436</v>
      </c>
      <c r="C27" s="6" t="s">
        <v>16</v>
      </c>
      <c r="D27" s="10">
        <v>0.3</v>
      </c>
      <c r="E27" s="8"/>
      <c r="F27" s="8"/>
      <c r="G27" s="8"/>
      <c r="H27" s="8"/>
      <c r="I27" s="8"/>
      <c r="J27" s="7">
        <v>35.46</v>
      </c>
      <c r="K27" s="10">
        <v>1152</v>
      </c>
      <c r="L27" s="11">
        <f t="shared" si="1"/>
        <v>4.9155145929339481</v>
      </c>
    </row>
    <row r="28" spans="1:12" x14ac:dyDescent="0.25">
      <c r="A28" s="6"/>
      <c r="B28" s="7">
        <v>23436</v>
      </c>
      <c r="C28" s="6"/>
      <c r="D28" s="10">
        <v>11</v>
      </c>
      <c r="E28" s="8"/>
      <c r="F28" s="8"/>
      <c r="G28" s="8"/>
      <c r="H28" s="8"/>
      <c r="I28" s="8"/>
      <c r="J28" s="7">
        <v>29.23</v>
      </c>
      <c r="K28" s="10">
        <v>5923</v>
      </c>
      <c r="L28" s="11">
        <f t="shared" si="1"/>
        <v>25.273084144051889</v>
      </c>
    </row>
    <row r="29" spans="1:12" x14ac:dyDescent="0.25">
      <c r="A29" s="6"/>
      <c r="B29" s="7">
        <v>23436</v>
      </c>
      <c r="C29" s="7" t="s">
        <v>8</v>
      </c>
      <c r="D29" s="10"/>
      <c r="E29" s="8" t="s">
        <v>15</v>
      </c>
      <c r="F29" s="8">
        <v>16</v>
      </c>
      <c r="G29" s="8">
        <v>1.9E-3</v>
      </c>
      <c r="H29" s="8">
        <v>1024</v>
      </c>
      <c r="I29" s="8">
        <v>2</v>
      </c>
      <c r="J29" s="7">
        <v>34.950000000000003</v>
      </c>
      <c r="K29" s="10">
        <v>28</v>
      </c>
      <c r="L29" s="11">
        <f t="shared" si="1"/>
        <v>0.11947431302270012</v>
      </c>
    </row>
    <row r="30" spans="1:12" x14ac:dyDescent="0.25">
      <c r="A30" s="6"/>
      <c r="B30" s="7">
        <v>23436</v>
      </c>
      <c r="C30" s="6" t="s">
        <v>16</v>
      </c>
      <c r="D30" s="10">
        <v>0.3</v>
      </c>
      <c r="E30" s="8"/>
      <c r="F30" s="8"/>
      <c r="G30" s="8"/>
      <c r="H30" s="8"/>
      <c r="I30" s="8"/>
      <c r="J30" s="7">
        <v>34.909999999999997</v>
      </c>
      <c r="K30" s="10">
        <v>1143</v>
      </c>
      <c r="L30" s="11">
        <f t="shared" si="1"/>
        <v>4.8771121351766515</v>
      </c>
    </row>
    <row r="31" spans="1:12" x14ac:dyDescent="0.25">
      <c r="A31" s="6"/>
      <c r="B31" s="7">
        <v>23436</v>
      </c>
      <c r="C31" s="6"/>
      <c r="D31" s="10">
        <v>11</v>
      </c>
      <c r="E31" s="8"/>
      <c r="F31" s="8"/>
      <c r="G31" s="8"/>
      <c r="H31" s="8"/>
      <c r="I31" s="8"/>
      <c r="J31" s="7">
        <v>28.88</v>
      </c>
      <c r="K31" s="10">
        <v>5926</v>
      </c>
      <c r="L31" s="11">
        <f t="shared" si="1"/>
        <v>25.285884963304316</v>
      </c>
    </row>
    <row r="32" spans="1:12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2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2" x14ac:dyDescent="0.25">
      <c r="A34" s="6" t="s">
        <v>19</v>
      </c>
      <c r="B34" s="7">
        <v>19815</v>
      </c>
      <c r="C34" s="8" t="s">
        <v>17</v>
      </c>
      <c r="D34" s="7">
        <v>0.3</v>
      </c>
      <c r="E34" s="9"/>
      <c r="F34" s="9"/>
      <c r="G34" s="9"/>
      <c r="H34" s="9"/>
      <c r="I34" s="9"/>
      <c r="J34" s="10">
        <v>56.8</v>
      </c>
      <c r="K34" s="10">
        <v>944</v>
      </c>
      <c r="L34" s="11">
        <f>(K34/B34)*100</f>
        <v>4.7640676255362102</v>
      </c>
    </row>
    <row r="35" spans="1:12" x14ac:dyDescent="0.25">
      <c r="A35" s="6"/>
      <c r="B35" s="7">
        <v>19815</v>
      </c>
      <c r="C35" s="8"/>
      <c r="D35" s="7">
        <v>11</v>
      </c>
      <c r="E35" s="9"/>
      <c r="F35" s="9"/>
      <c r="G35" s="9"/>
      <c r="H35" s="9"/>
      <c r="I35" s="9"/>
      <c r="J35" s="10">
        <v>30.59</v>
      </c>
      <c r="K35" s="10">
        <v>4964</v>
      </c>
      <c r="L35" s="11">
        <f t="shared" ref="L35:L47" si="2">(K35/B35)*100</f>
        <v>25.051728488518798</v>
      </c>
    </row>
    <row r="36" spans="1:12" x14ac:dyDescent="0.25">
      <c r="A36" s="6"/>
      <c r="B36" s="7">
        <v>19815</v>
      </c>
      <c r="C36" s="7" t="s">
        <v>8</v>
      </c>
      <c r="D36" s="10"/>
      <c r="E36" s="8" t="s">
        <v>9</v>
      </c>
      <c r="F36" s="8">
        <v>11</v>
      </c>
      <c r="G36" s="8">
        <v>3.5000000000000001E-3</v>
      </c>
      <c r="H36" s="8">
        <v>65536</v>
      </c>
      <c r="I36" s="8">
        <v>221</v>
      </c>
      <c r="J36" s="7">
        <v>32.29</v>
      </c>
      <c r="K36" s="10">
        <v>33</v>
      </c>
      <c r="L36" s="11">
        <f t="shared" si="2"/>
        <v>0.16654049962149886</v>
      </c>
    </row>
    <row r="37" spans="1:12" x14ac:dyDescent="0.25">
      <c r="A37" s="6"/>
      <c r="B37" s="7">
        <v>19815</v>
      </c>
      <c r="C37" s="6" t="s">
        <v>16</v>
      </c>
      <c r="D37" s="10">
        <v>0.3</v>
      </c>
      <c r="E37" s="8"/>
      <c r="F37" s="8"/>
      <c r="G37" s="8"/>
      <c r="H37" s="8"/>
      <c r="I37" s="8"/>
      <c r="J37" s="7">
        <v>32.28</v>
      </c>
      <c r="K37" s="10">
        <v>976</v>
      </c>
      <c r="L37" s="11">
        <f t="shared" si="2"/>
        <v>4.9255614433509969</v>
      </c>
    </row>
    <row r="38" spans="1:12" x14ac:dyDescent="0.25">
      <c r="A38" s="6"/>
      <c r="B38" s="7">
        <v>19815</v>
      </c>
      <c r="C38" s="6"/>
      <c r="D38" s="10">
        <v>11</v>
      </c>
      <c r="E38" s="8"/>
      <c r="F38" s="8"/>
      <c r="G38" s="8"/>
      <c r="H38" s="8"/>
      <c r="I38" s="8"/>
      <c r="J38" s="7">
        <v>28.38</v>
      </c>
      <c r="K38" s="10">
        <v>4963</v>
      </c>
      <c r="L38" s="11">
        <f t="shared" si="2"/>
        <v>25.046681806712083</v>
      </c>
    </row>
    <row r="39" spans="1:12" x14ac:dyDescent="0.25">
      <c r="A39" s="6"/>
      <c r="B39" s="7">
        <v>19815</v>
      </c>
      <c r="C39" s="7" t="s">
        <v>8</v>
      </c>
      <c r="D39" s="10"/>
      <c r="E39" s="8" t="s">
        <v>13</v>
      </c>
      <c r="F39" s="8">
        <v>21</v>
      </c>
      <c r="G39" s="8">
        <v>2.3E-3</v>
      </c>
      <c r="H39" s="8">
        <v>16384</v>
      </c>
      <c r="I39" s="8">
        <v>38</v>
      </c>
      <c r="J39" s="7">
        <v>34.56</v>
      </c>
      <c r="K39" s="10">
        <v>29</v>
      </c>
      <c r="L39" s="11">
        <f t="shared" si="2"/>
        <v>0.14635377239465053</v>
      </c>
    </row>
    <row r="40" spans="1:12" x14ac:dyDescent="0.25">
      <c r="A40" s="6"/>
      <c r="B40" s="7">
        <v>19815</v>
      </c>
      <c r="C40" s="6" t="s">
        <v>16</v>
      </c>
      <c r="D40" s="10">
        <v>0.3</v>
      </c>
      <c r="E40" s="8"/>
      <c r="F40" s="8"/>
      <c r="G40" s="8"/>
      <c r="H40" s="8"/>
      <c r="I40" s="8"/>
      <c r="J40" s="7">
        <v>34.53</v>
      </c>
      <c r="K40" s="10">
        <v>966</v>
      </c>
      <c r="L40" s="11">
        <f t="shared" si="2"/>
        <v>4.875094625283876</v>
      </c>
    </row>
    <row r="41" spans="1:12" x14ac:dyDescent="0.25">
      <c r="A41" s="6"/>
      <c r="B41" s="7">
        <v>19815</v>
      </c>
      <c r="C41" s="6"/>
      <c r="D41" s="10">
        <v>11</v>
      </c>
      <c r="E41" s="8"/>
      <c r="F41" s="8"/>
      <c r="G41" s="8"/>
      <c r="H41" s="8"/>
      <c r="I41" s="8"/>
      <c r="J41" s="7">
        <v>28.91</v>
      </c>
      <c r="K41" s="10">
        <v>4920</v>
      </c>
      <c r="L41" s="11">
        <f t="shared" si="2"/>
        <v>24.829674489023468</v>
      </c>
    </row>
    <row r="42" spans="1:12" x14ac:dyDescent="0.25">
      <c r="A42" s="6"/>
      <c r="B42" s="7">
        <v>19815</v>
      </c>
      <c r="C42" s="7" t="s">
        <v>8</v>
      </c>
      <c r="D42" s="10"/>
      <c r="E42" s="8" t="s">
        <v>14</v>
      </c>
      <c r="F42" s="8">
        <v>23</v>
      </c>
      <c r="G42" s="8">
        <v>2.2000000000000001E-3</v>
      </c>
      <c r="H42" s="8">
        <v>4096</v>
      </c>
      <c r="I42" s="8">
        <v>9</v>
      </c>
      <c r="J42" s="7">
        <v>35.47</v>
      </c>
      <c r="K42" s="10">
        <v>23</v>
      </c>
      <c r="L42" s="11">
        <f t="shared" si="2"/>
        <v>0.116073681554378</v>
      </c>
    </row>
    <row r="43" spans="1:12" x14ac:dyDescent="0.25">
      <c r="A43" s="6"/>
      <c r="B43" s="7">
        <v>19815</v>
      </c>
      <c r="C43" s="6" t="s">
        <v>16</v>
      </c>
      <c r="D43" s="10">
        <v>0.3</v>
      </c>
      <c r="E43" s="8"/>
      <c r="F43" s="8"/>
      <c r="G43" s="8"/>
      <c r="H43" s="8"/>
      <c r="I43" s="8"/>
      <c r="J43" s="7">
        <v>35.46</v>
      </c>
      <c r="K43" s="10">
        <v>985</v>
      </c>
      <c r="L43" s="11">
        <f t="shared" si="2"/>
        <v>4.9709815796114052</v>
      </c>
    </row>
    <row r="44" spans="1:12" x14ac:dyDescent="0.25">
      <c r="A44" s="6"/>
      <c r="B44" s="7">
        <v>19815</v>
      </c>
      <c r="C44" s="6"/>
      <c r="D44" s="10">
        <v>11</v>
      </c>
      <c r="E44" s="8"/>
      <c r="F44" s="8"/>
      <c r="G44" s="8"/>
      <c r="H44" s="8"/>
      <c r="I44" s="8"/>
      <c r="J44" s="7">
        <v>29.23</v>
      </c>
      <c r="K44" s="10">
        <v>5021</v>
      </c>
      <c r="L44" s="11">
        <f t="shared" si="2"/>
        <v>25.339389351501389</v>
      </c>
    </row>
    <row r="45" spans="1:12" x14ac:dyDescent="0.25">
      <c r="A45" s="6"/>
      <c r="B45" s="7">
        <v>19815</v>
      </c>
      <c r="C45" s="7" t="s">
        <v>8</v>
      </c>
      <c r="D45" s="10"/>
      <c r="E45" s="8" t="s">
        <v>15</v>
      </c>
      <c r="F45" s="8">
        <v>16</v>
      </c>
      <c r="G45" s="8">
        <v>1.9E-3</v>
      </c>
      <c r="H45" s="8">
        <v>1024</v>
      </c>
      <c r="I45" s="8">
        <v>2</v>
      </c>
      <c r="J45" s="7">
        <v>34.950000000000003</v>
      </c>
      <c r="K45" s="10">
        <v>22</v>
      </c>
      <c r="L45" s="11">
        <f t="shared" si="2"/>
        <v>0.11102699974766592</v>
      </c>
    </row>
    <row r="46" spans="1:12" x14ac:dyDescent="0.25">
      <c r="A46" s="6"/>
      <c r="B46" s="7">
        <v>19815</v>
      </c>
      <c r="C46" s="6" t="s">
        <v>16</v>
      </c>
      <c r="D46" s="10">
        <v>0.3</v>
      </c>
      <c r="E46" s="8"/>
      <c r="F46" s="8"/>
      <c r="G46" s="8"/>
      <c r="H46" s="8"/>
      <c r="I46" s="8"/>
      <c r="J46" s="7">
        <v>34.909999999999997</v>
      </c>
      <c r="K46" s="10">
        <v>973</v>
      </c>
      <c r="L46" s="11">
        <f t="shared" si="2"/>
        <v>4.9104213979308611</v>
      </c>
    </row>
    <row r="47" spans="1:12" x14ac:dyDescent="0.25">
      <c r="A47" s="6"/>
      <c r="B47" s="7">
        <v>19815</v>
      </c>
      <c r="C47" s="6"/>
      <c r="D47" s="10">
        <v>11</v>
      </c>
      <c r="E47" s="8"/>
      <c r="F47" s="8"/>
      <c r="G47" s="8"/>
      <c r="H47" s="8"/>
      <c r="I47" s="8"/>
      <c r="J47" s="7">
        <v>28.88</v>
      </c>
      <c r="K47" s="10">
        <v>5030</v>
      </c>
      <c r="L47" s="11">
        <f t="shared" si="2"/>
        <v>25.384809487761796</v>
      </c>
    </row>
    <row r="48" spans="1:12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</sheetData>
  <mergeCells count="85">
    <mergeCell ref="A48:J49"/>
    <mergeCell ref="K48:K49"/>
    <mergeCell ref="C43:C44"/>
    <mergeCell ref="E45:E47"/>
    <mergeCell ref="F45:F47"/>
    <mergeCell ref="G45:G47"/>
    <mergeCell ref="H45:H47"/>
    <mergeCell ref="I45:I47"/>
    <mergeCell ref="E42:E44"/>
    <mergeCell ref="F42:F44"/>
    <mergeCell ref="G42:G44"/>
    <mergeCell ref="H42:H44"/>
    <mergeCell ref="I42:I44"/>
    <mergeCell ref="C40:C41"/>
    <mergeCell ref="C30:C31"/>
    <mergeCell ref="A34:A47"/>
    <mergeCell ref="C34:C35"/>
    <mergeCell ref="E34:I35"/>
    <mergeCell ref="E36:E38"/>
    <mergeCell ref="F36:F38"/>
    <mergeCell ref="G36:G38"/>
    <mergeCell ref="H36:H38"/>
    <mergeCell ref="C46:C47"/>
    <mergeCell ref="I36:I38"/>
    <mergeCell ref="C37:C38"/>
    <mergeCell ref="F39:F41"/>
    <mergeCell ref="A32:K33"/>
    <mergeCell ref="E39:E41"/>
    <mergeCell ref="I26:I28"/>
    <mergeCell ref="G39:G41"/>
    <mergeCell ref="H39:H41"/>
    <mergeCell ref="I39:I41"/>
    <mergeCell ref="E29:E31"/>
    <mergeCell ref="F29:F31"/>
    <mergeCell ref="G29:G31"/>
    <mergeCell ref="H29:H31"/>
    <mergeCell ref="I29:I31"/>
    <mergeCell ref="C27:C28"/>
    <mergeCell ref="E26:E28"/>
    <mergeCell ref="F26:F28"/>
    <mergeCell ref="G26:G28"/>
    <mergeCell ref="H26:H28"/>
    <mergeCell ref="E2:I3"/>
    <mergeCell ref="C21:C22"/>
    <mergeCell ref="E23:E25"/>
    <mergeCell ref="F23:F25"/>
    <mergeCell ref="G23:G25"/>
    <mergeCell ref="H23:H25"/>
    <mergeCell ref="I23:I25"/>
    <mergeCell ref="C24:C25"/>
    <mergeCell ref="A16:K17"/>
    <mergeCell ref="C14:C15"/>
    <mergeCell ref="A18:A31"/>
    <mergeCell ref="C18:C19"/>
    <mergeCell ref="E18:I19"/>
    <mergeCell ref="E20:E22"/>
    <mergeCell ref="F20:F22"/>
    <mergeCell ref="G20:G22"/>
    <mergeCell ref="H20:H22"/>
    <mergeCell ref="I20:I22"/>
    <mergeCell ref="E13:E15"/>
    <mergeCell ref="F13:F15"/>
    <mergeCell ref="G13:G15"/>
    <mergeCell ref="H13:H15"/>
    <mergeCell ref="I13:I15"/>
    <mergeCell ref="A2:A15"/>
    <mergeCell ref="C2:C3"/>
    <mergeCell ref="I7:I9"/>
    <mergeCell ref="C8:C9"/>
    <mergeCell ref="E4:E6"/>
    <mergeCell ref="F4:F6"/>
    <mergeCell ref="G4:G6"/>
    <mergeCell ref="H4:H6"/>
    <mergeCell ref="I4:I6"/>
    <mergeCell ref="C5:C6"/>
    <mergeCell ref="E7:E9"/>
    <mergeCell ref="F7:F9"/>
    <mergeCell ref="G7:G9"/>
    <mergeCell ref="H7:H9"/>
    <mergeCell ref="F10:F12"/>
    <mergeCell ref="G10:G12"/>
    <mergeCell ref="H10:H12"/>
    <mergeCell ref="I10:I12"/>
    <mergeCell ref="C11:C12"/>
    <mergeCell ref="E10:E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0.1 Payload</vt:lpstr>
      <vt:lpstr>0.4 Payload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Swaroop Shankar Prasad</dc:creator>
  <cp:lastModifiedBy>Swaroop Shankar Prasad</cp:lastModifiedBy>
  <dcterms:created xsi:type="dcterms:W3CDTF">2019-09-15T10:09:07Z</dcterms:created>
  <dcterms:modified xsi:type="dcterms:W3CDTF">2020-08-10T13:10:22Z</dcterms:modified>
</cp:coreProperties>
</file>